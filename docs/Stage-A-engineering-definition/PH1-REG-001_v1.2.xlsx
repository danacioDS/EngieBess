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ANIEL\Documents\repo_lab\EngieBess\"/>
    </mc:Choice>
  </mc:AlternateContent>
  <xr:revisionPtr revIDLastSave="0" documentId="8_{8B888F3B-8742-4462-949A-D290D005348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gister" sheetId="1" r:id="rId1"/>
    <sheet name="Summary" sheetId="2" r:id="rId2"/>
    <sheet name="Cross-Reference" sheetId="3" r:id="rId3"/>
    <sheet name="Legend" sheetId="4" r:id="rId4"/>
  </sheets>
  <definedNames>
    <definedName name="_xlnm._FilterDatabase" localSheetId="0" hidden="1">Register!$A$5:$K$60</definedName>
    <definedName name="_xlnm.Print_Titles" localSheetId="0">Register!$5:$5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2" l="1"/>
  <c r="C6" i="2"/>
  <c r="B6" i="2"/>
  <c r="D5" i="2"/>
  <c r="C5" i="2"/>
  <c r="B5" i="2"/>
  <c r="D4" i="2"/>
  <c r="D7" i="2" s="1"/>
  <c r="C4" i="2"/>
  <c r="C7" i="2" s="1"/>
  <c r="B4" i="2"/>
  <c r="B7" i="2" s="1"/>
</calcChain>
</file>

<file path=xl/sharedStrings.xml><?xml version="1.0" encoding="utf-8"?>
<sst xmlns="http://schemas.openxmlformats.org/spreadsheetml/2006/main" count="562" uniqueCount="340">
  <si>
    <t>Phase 1 Clarification &amp; Data Request Register</t>
  </si>
  <si>
    <t>Document ID: PH1-REG-001  |  Excel companion of PH1-REG-001.md (authoritative)  |  ENGIE - BESS Operational &amp; Financial Modeling (RFP-264144-1)</t>
  </si>
  <si>
    <t>Content transcribed 1:1 from docs/Stage-A-engineering-definition/PH1-REG-001.md. Red rows: IDs cited in Stage A but not defined in the markdown register. Yellow columns: status tracking.</t>
  </si>
  <si>
    <t>ID</t>
  </si>
  <si>
    <t>Type</t>
  </si>
  <si>
    <t>Item</t>
  </si>
  <si>
    <t>Clarification / Data Request</t>
  </si>
  <si>
    <t>Working Default / Rationale</t>
  </si>
  <si>
    <t>Domains</t>
  </si>
  <si>
    <t>Source Documents</t>
  </si>
  <si>
    <t>Status</t>
  </si>
  <si>
    <t>ENGIE Response</t>
  </si>
  <si>
    <t>Date Raised</t>
  </si>
  <si>
    <t>Date Closed</t>
  </si>
  <si>
    <t>PH-001</t>
  </si>
  <si>
    <t>Blocking</t>
  </si>
  <si>
    <t>Target market(s)</t>
  </si>
  <si>
    <t>Which electricity markets, tariff structures, and ancillary-service products are within the initial delivery scope?</t>
  </si>
  <si>
    <t>Market rules drive eligibility, dispatch logic, settlement, revenue</t>
  </si>
  <si>
    <t>Strategy, D2, D3, D4</t>
  </si>
  <si>
    <t>SYS-STR-FRM-001 v0.9, A.2.2 v1.3, A.2.3 v1.4, A.2.4 v1.0</t>
  </si>
  <si>
    <t>Open</t>
  </si>
  <si>
    <t>PH-002</t>
  </si>
  <si>
    <t>Behind-the-meter vs. front-of-the-meter scope</t>
  </si>
  <si>
    <t>Is the initial delivery expected to support both BTM and FTM configurations, or is one the priority?</t>
  </si>
  <si>
    <t>Determines which value streams and constraints apply</t>
  </si>
  <si>
    <t>PH-003</t>
  </si>
  <si>
    <t>Data availability</t>
  </si>
  <si>
    <t>What historical data will ENGIE provide — meter data, market prices, ancillary prices, regulation signals, customer bills — and at what resolution and horizon?</t>
  </si>
  <si>
    <t>Determines what can be modeled; drives ingestion design</t>
  </si>
  <si>
    <t>D1, D2</t>
  </si>
  <si>
    <t>SYS-STR-FRM-001 v0.9, A.2.1 v1.3, A.2.2 v1.3</t>
  </si>
  <si>
    <t>PH-004</t>
  </si>
  <si>
    <t>Project configuration</t>
  </si>
  <si>
    <t>What is the primary reference configuration: standalone BESS, co-located with renewables, BTM, FTM, AC- or DC-coupled?</t>
  </si>
  <si>
    <t>Determines which System Context dimensions are relevant and which interfaces are developed first</t>
  </si>
  <si>
    <t>Strategy, D7</t>
  </si>
  <si>
    <t>SYS-STR-FRM-001 v0.9, A.2.7 v0.3</t>
  </si>
  <si>
    <t>PH-005</t>
  </si>
  <si>
    <t>Benchmark data</t>
  </si>
  <si>
    <t>What established benchmarks will be used to validate the model? Can ENGIE provide reference cases with expected results?</t>
  </si>
  <si>
    <t>Defines acceptance and validation</t>
  </si>
  <si>
    <t>Strategy, D1, D4, D6</t>
  </si>
  <si>
    <t>SYS-STR-FRM-001 v0.9, A.2.1 v1.3, A.2.4 v1.0, A.2.6 v0.3</t>
  </si>
  <si>
    <t>PH-006</t>
  </si>
  <si>
    <t>Acceptance thresholds</t>
  </si>
  <si>
    <t>What quantified accuracy, runtime, and usability criteria define acceptance?</t>
  </si>
  <si>
    <t>Must be concrete before the thin slice is built</t>
  </si>
  <si>
    <t>All domains</t>
  </si>
  <si>
    <t>SYS-STR-FRM-001 v0.9, A.2.1 v1.3, A.2.2 v1.3, A.2.4 v1.0</t>
  </si>
  <si>
    <t>PH-007</t>
  </si>
  <si>
    <t>Defaultable</t>
  </si>
  <si>
    <t>Commercial perspective</t>
  </si>
  <si>
    <t>Should results be shown from ENGIE's perspective as owner or operator, from the client's perspective, or both?</t>
  </si>
  <si>
    <t>Both supported; owner perspective primary</t>
  </si>
  <si>
    <t>D6</t>
  </si>
  <si>
    <t>SYS-STR-FRM-001 v0.9, A.2.6 v0.3</t>
  </si>
  <si>
    <t>PH-008</t>
  </si>
  <si>
    <t>Co-located configurations</t>
  </si>
  <si>
    <t>Does the first project require co-located BESS with renewable generation?</t>
  </si>
  <si>
    <t>Standalone BESS (per PH-004 default)</t>
  </si>
  <si>
    <t>Strategy</t>
  </si>
  <si>
    <t>SYS-STR-FRM-001 v0.9</t>
  </si>
  <si>
    <t>PH-009</t>
  </si>
  <si>
    <t>Presentation of value (strategy level)</t>
  </si>
  <si>
    <t>Does ENGIE accept the split between tariff-based savings and market-based revenue?</t>
  </si>
  <si>
    <t>Accepted (see also PH-055)</t>
  </si>
  <si>
    <t>Strategy, D6</t>
  </si>
  <si>
    <t>PH-010</t>
  </si>
  <si>
    <t>Reporting conventions (strategy level)</t>
  </si>
  <si>
    <t>Are there ENGIE templates or branding requirements for outputs?</t>
  </si>
  <si>
    <t>Both PDF and Excel; no branding (see also PH-047)</t>
  </si>
  <si>
    <t>PH-011</t>
  </si>
  <si>
    <t>Undefined</t>
  </si>
  <si>
    <t>NOT DEFINED IN PH1-REG-001.md</t>
  </si>
  <si>
    <t>Cited in Stage A documents but has no row in the markdown register. Define it in the register or remove the citations.</t>
  </si>
  <si>
    <t>-</t>
  </si>
  <si>
    <t>To define</t>
  </si>
  <si>
    <t>PH-012</t>
  </si>
  <si>
    <t>Users and handover</t>
  </si>
  <si>
    <t>Who are the users and roles, how many, and who will maintain the tool after week 12?</t>
  </si>
  <si>
    <t>Both business development and technical maintainers</t>
  </si>
  <si>
    <t>D7</t>
  </si>
  <si>
    <t>PH-013</t>
  </si>
  <si>
    <t>PH-014</t>
  </si>
  <si>
    <t>PH-015</t>
  </si>
  <si>
    <t>Battery data</t>
  </si>
  <si>
    <t>Are vendor degradation curves or warranty terms available for the reference technologies?</t>
  </si>
  <si>
    <t>Vendor data if available; otherwise literature</t>
  </si>
  <si>
    <t>D1, D5</t>
  </si>
  <si>
    <t>SYS-STR-FRM-001 v0.9, A.2.1 v1.3, A.2.5 v0.4</t>
  </si>
  <si>
    <t>PH-016</t>
  </si>
  <si>
    <t>SOC bounds and warranty</t>
  </si>
  <si>
    <t>Are SOC bounds driven by warranty terms, operating policy, or both?</t>
  </si>
  <si>
    <t>Warranty-driven initially; policy-configurable</t>
  </si>
  <si>
    <t>PH-017</t>
  </si>
  <si>
    <t>SOC window behavior under degradation</t>
  </si>
  <si>
    <t>Proportional narrowing or preserved kWh reserves?</t>
  </si>
  <si>
    <t>Proportional narrowing</t>
  </si>
  <si>
    <t>PH-018</t>
  </si>
  <si>
    <t>Multi-cohort aggregation after augmentation</t>
  </si>
  <si>
    <t>How should SOH be aggregated when multiple cohorts coexist?</t>
  </si>
  <si>
    <t>Capacity-weighted SOH</t>
  </si>
  <si>
    <t>D5</t>
  </si>
  <si>
    <t>PH-019</t>
  </si>
  <si>
    <t>Export and net metering</t>
  </si>
  <si>
    <t>How is exported energy compensated?</t>
  </si>
  <si>
    <t>Net metering if applicable; otherwise no compensation</t>
  </si>
  <si>
    <t>D2</t>
  </si>
  <si>
    <t>SYS-STR-FRM-001 v0.9, A.2.2 v1.3</t>
  </si>
  <si>
    <t>PH-020</t>
  </si>
  <si>
    <t>Minimum bill and fixed charges</t>
  </si>
  <si>
    <t>Are there minimum-bill provisions or fixed charges?</t>
  </si>
  <si>
    <t>Represented if applicable</t>
  </si>
  <si>
    <t>PH-021</t>
  </si>
  <si>
    <t>Power factor penalties / kVAR charges</t>
  </si>
  <si>
    <t>Do the customer tariffs in scope include power factor penalties or kVAR charges?</t>
  </si>
  <si>
    <t>D2, D3, D4</t>
  </si>
  <si>
    <t>PH-022</t>
  </si>
  <si>
    <t>Coincident-peak charges</t>
  </si>
  <si>
    <t>Where tariffs include coincident-peak charges (e.g. ERCOT 4CP, PJM 5CP), does ENGIE have a peak-prediction approach?</t>
  </si>
  <si>
    <t>Peak hours assumed known, with configurable hit-rate factor</t>
  </si>
  <si>
    <t>PH-023</t>
  </si>
  <si>
    <t>Tariff structure detail</t>
  </si>
  <si>
    <t>How are ratchets, coincident-peak, and billing periods defined?</t>
  </si>
  <si>
    <t>Represented per tariff rules</t>
  </si>
  <si>
    <t>PH-024</t>
  </si>
  <si>
    <t>Tariff escalation</t>
  </si>
  <si>
    <t>How should tariff escalation be projected? Should the tool also evaluate tariff switching?</t>
  </si>
  <si>
    <t>Configurable escalation; tariff switching as optional extension</t>
  </si>
  <si>
    <t>D2, D6</t>
  </si>
  <si>
    <t>PH-025</t>
  </si>
  <si>
    <t>Load projection growth</t>
  </si>
  <si>
    <t>What load growth assumptions should apply? Are site changes expected?</t>
  </si>
  <si>
    <t>ENGIE-provided if available; otherwise statistical baseline</t>
  </si>
  <si>
    <t>PH-026</t>
  </si>
  <si>
    <t>BESS sizing vs. evaluation</t>
  </si>
  <si>
    <t>Is the model intended for sizing or evaluation?</t>
  </si>
  <si>
    <t>Evaluation of a predefined configuration</t>
  </si>
  <si>
    <t>D4</t>
  </si>
  <si>
    <t>SYS-STR-FRM-001 v0.9, A.2.4 v1.0</t>
  </si>
  <si>
    <t>PH-027</t>
  </si>
  <si>
    <t>Primary model purpose / use case</t>
  </si>
  <si>
    <t>Project development support or other?</t>
  </si>
  <si>
    <t>Evaluation (project development support)</t>
  </si>
  <si>
    <t>PH-028</t>
  </si>
  <si>
    <t>Model output granularity</t>
  </si>
  <si>
    <t>What level of detail is expected?</t>
  </si>
  <si>
    <t>All levels (interval schedules, daily/monthly metrics, annual KPIs)</t>
  </si>
  <si>
    <t>PH-029</t>
  </si>
  <si>
    <t>Active vs. reactive priority</t>
  </si>
  <si>
    <t>When the inverter's apparent-power limit binds, is there a priority rule?</t>
  </si>
  <si>
    <t>Project / grid-code dependent</t>
  </si>
  <si>
    <t>A.2.4 v1.0</t>
  </si>
  <si>
    <t>PH-030</t>
  </si>
  <si>
    <t>Dispatch validation benchmark</t>
  </si>
  <si>
    <t>What benchmark should be used for dispatch validation?</t>
  </si>
  <si>
    <t>Internal consistency checks</t>
  </si>
  <si>
    <t>PH-031</t>
  </si>
  <si>
    <t>Revenue attribution under simultaneous services</t>
  </si>
  <si>
    <t>How should revenue be attributed when services overlap?</t>
  </si>
  <si>
    <t>Rule-based attribution</t>
  </si>
  <si>
    <t>PH-032</t>
  </si>
  <si>
    <t>Financial objective inside dispatch</t>
  </si>
  <si>
    <t>Should degradation cost enter the dispatch objective?</t>
  </si>
  <si>
    <t>Depends on dispatch methodology (see PH-034)</t>
  </si>
  <si>
    <t>A.2.5 v0.4</t>
  </si>
  <si>
    <t>PH-033</t>
  </si>
  <si>
    <t>Perfect foresight vs. forecast-based dispatch</t>
  </si>
  <si>
    <t>Which dispatch mode should be the default?</t>
  </si>
  <si>
    <t>Perfect foresight; realization factor applied in Financial Engineering</t>
  </si>
  <si>
    <t>PH-034</t>
  </si>
  <si>
    <t>Dispatch methodology</t>
  </si>
  <si>
    <t>Rule-based heuristic, LP, MILP, or hybrid?</t>
  </si>
  <si>
    <t>LP</t>
  </si>
  <si>
    <t>Strategy, D3, D4</t>
  </si>
  <si>
    <t>SYS-STR-FRM-001 v0.9, A.2.3 v1.4, A.2.4 v1.0</t>
  </si>
  <si>
    <t>PH-035</t>
  </si>
  <si>
    <t>Realization factor</t>
  </si>
  <si>
    <t>What magnitude should apply to market-based revenues? Is it configurable per scenario?</t>
  </si>
  <si>
    <t>Configurable per scenario; default range to be agreed</t>
  </si>
  <si>
    <t>PH-036</t>
  </si>
  <si>
    <t>Degradation feedback time scale</t>
  </si>
  <si>
    <t>Frequency of SOH update during operational simulation?</t>
  </si>
  <si>
    <t>Annual SOH update with representative-period simulation</t>
  </si>
  <si>
    <t>Strategy, D1, D4, D5</t>
  </si>
  <si>
    <t>SYS-STR-FRM-001 v0.9, A.2.1 v1.3, A.2.4 v1.0, A.2.5 v0.4</t>
  </si>
  <si>
    <t>PH-037</t>
  </si>
  <si>
    <t>Degradation model calibration</t>
  </si>
  <si>
    <t>How should the model be calibrated if vendor data is unavailable?</t>
  </si>
  <si>
    <t>Literature-based; validated against benchmarks</t>
  </si>
  <si>
    <t>PH-038</t>
  </si>
  <si>
    <t>Degradation feedback time scale (confirmatory)</t>
  </si>
  <si>
    <t>Confirmation of annual SOH update with representative-period aggregation.</t>
  </si>
  <si>
    <t>Confirms PH-036</t>
  </si>
  <si>
    <t>PH-039</t>
  </si>
  <si>
    <t>Financial objective inside dispatch (confirmatory)</t>
  </si>
  <si>
    <t>Confirmation of PH-032.</t>
  </si>
  <si>
    <t>Confirms PH-032</t>
  </si>
  <si>
    <t>PH-040</t>
  </si>
  <si>
    <t>Representative-period scheme and ratchets</t>
  </si>
  <si>
    <t>Monthly representative periods respecting the billing period; where ratchets apply, all 12 months simulated.</t>
  </si>
  <si>
    <t>Monthly representative periods; 12 months if ratchets apply</t>
  </si>
  <si>
    <t>Strategy, D4</t>
  </si>
  <si>
    <t>PH-041</t>
  </si>
  <si>
    <t>Voltage regulation coupling</t>
  </si>
  <si>
    <t>Should the P² + Q² ≤ S² coupling be linearized, or represented as a fixed envelope?</t>
  </si>
  <si>
    <t>Fixed envelope — no linearization initially</t>
  </si>
  <si>
    <t>PH-042</t>
  </si>
  <si>
    <t>Financing structure</t>
  </si>
  <si>
    <t>What debt parameters (gearing, interest rate, tenor) should be used for equity IRR?</t>
  </si>
  <si>
    <t>Default debt parameters provided; configurable by the user</t>
  </si>
  <si>
    <t>PH-043</t>
  </si>
  <si>
    <t>Tax, incentives, and conventions</t>
  </si>
  <si>
    <t>Should the model include tax, depreciation, and incentives such as the ITC? What currency? Nominal or real?</t>
  </si>
  <si>
    <t>Pre-tax initially; ITC / depreciation flagged as extension. Nominal cash flows.</t>
  </si>
  <si>
    <t>Strategy, D5, D6</t>
  </si>
  <si>
    <t>SYS-STR-FRM-001 v0.9, A.2.5 v0.4, A.2.6 v0.3</t>
  </si>
  <si>
    <t>PH-044</t>
  </si>
  <si>
    <t>Augmentation policy</t>
  </si>
  <si>
    <t>Scheduled, SOH-threshold-triggered, or both?</t>
  </si>
  <si>
    <t>SOH-threshold-triggered</t>
  </si>
  <si>
    <t>Strategy, D5</t>
  </si>
  <si>
    <t>SYS-STR-FRM-001 v0.9, A.2.5 v0.4</t>
  </si>
  <si>
    <t>PH-045</t>
  </si>
  <si>
    <t>Replacement policy</t>
  </si>
  <si>
    <t>Does replacement reset capacity to BOL?</t>
  </si>
  <si>
    <t>Reset to BOL</t>
  </si>
  <si>
    <t>PH-046</t>
  </si>
  <si>
    <t>Databricks environment</t>
  </si>
  <si>
    <t>Please confirm workspace ownership, access provisioning, Databricks Apps availability, Unity Catalog usage, and compute policies.</t>
  </si>
  <si>
    <t>ENGIE-owned workspace; consultant granted developer access</t>
  </si>
  <si>
    <t>PH-047</t>
  </si>
  <si>
    <t>Reporting requirements</t>
  </si>
  <si>
    <t>Are there ENGIE templates or branding requirements for PDF and Excel exports?</t>
  </si>
  <si>
    <t>Both PDF and Excel; no branding</t>
  </si>
  <si>
    <t>Strategy, D6, D7</t>
  </si>
  <si>
    <t>SYS-STR-FRM-001 v0.9, A.2.6 v0.3, A.2.7 v0.3</t>
  </si>
  <si>
    <t>PH-048</t>
  </si>
  <si>
    <t>Audit / lineage / traceability scope</t>
  </si>
  <si>
    <t>Are execution logs, data lineage, and audit outputs required deliverables, or optional engineering practices?</t>
  </si>
  <si>
    <t>Basic execution logs + data lineage</t>
  </si>
  <si>
    <t>PH-049</t>
  </si>
  <si>
    <t>Grid constraints</t>
  </si>
  <si>
    <t>What are the interconnection limits and export constraints at the site?</t>
  </si>
  <si>
    <t>Represented if provided</t>
  </si>
  <si>
    <t>Strategy, D2</t>
  </si>
  <si>
    <t>PH-050</t>
  </si>
  <si>
    <t>Load forecasting method</t>
  </si>
  <si>
    <t>What method should be used for load projection over the contract term?</t>
  </si>
  <si>
    <t>PH-051</t>
  </si>
  <si>
    <t>Load forecasting home</t>
  </si>
  <si>
    <t>Does load forecasting belong to Domain 2 conceptually, with implementation via Domain 7?</t>
  </si>
  <si>
    <t>Yes — Domain 2 owns it conceptually</t>
  </si>
  <si>
    <t>PH-052</t>
  </si>
  <si>
    <t>Scenario granularity</t>
  </si>
  <si>
    <t>How many core scenarios should be delivered initially?</t>
  </si>
  <si>
    <t>3–5 core scenarios initially, expandable</t>
  </si>
  <si>
    <t>PH-053</t>
  </si>
  <si>
    <t>Market adapter scope</t>
  </si>
  <si>
    <t>How many market adapters should be delivered at handover?</t>
  </si>
  <si>
    <t>One adapter at delivery; architecture supports more</t>
  </si>
  <si>
    <t>PH-054</t>
  </si>
  <si>
    <t>Time resolution</t>
  </si>
  <si>
    <t>What time resolution should the model use — 15-minute, hourly, or a mix?</t>
  </si>
  <si>
    <t>15-minute when input data permits; hourly otherwise</t>
  </si>
  <si>
    <t>Strategy, D2, D4</t>
  </si>
  <si>
    <t>SYS-STR-FRM-001 v0.9, A.2.2 v1.3, A.2.4 v1.0</t>
  </si>
  <si>
    <t>PH-055</t>
  </si>
  <si>
    <t>Presentation of value (BTM mapping convention)</t>
  </si>
  <si>
    <t>Does ENGIE accept the mapping convention proposed in A.2.3 §15.2 for attributing behind-the-meter savings to value streams?</t>
  </si>
  <si>
    <t>Accepted</t>
  </si>
  <si>
    <t>Strategy, D3, D6</t>
  </si>
  <si>
    <t>SYS-STR-FRM-001 v0.9, A.2.3 v1.4, A.2.6 v0.3</t>
  </si>
  <si>
    <t>Register Summary</t>
  </si>
  <si>
    <t>Total</t>
  </si>
  <si>
    <t>Answered / Closed</t>
  </si>
  <si>
    <t>Type 'Blocking' = Strategy B1-B6 (PH-001 to PH-006). All other defined items are Defaultable.</t>
  </si>
  <si>
    <t>Cross-Reference</t>
  </si>
  <si>
    <t>Table 1 - Strategy §12 items (B/D) -&gt; Register ID</t>
  </si>
  <si>
    <t>Strategy item</t>
  </si>
  <si>
    <t>Register ID</t>
  </si>
  <si>
    <t>Note</t>
  </si>
  <si>
    <t>B1</t>
  </si>
  <si>
    <t>B2</t>
  </si>
  <si>
    <t>B3</t>
  </si>
  <si>
    <t>B4</t>
  </si>
  <si>
    <t>B5</t>
  </si>
  <si>
    <t>B6</t>
  </si>
  <si>
    <t>Also PH-008</t>
  </si>
  <si>
    <t>D1</t>
  </si>
  <si>
    <t>Realization factor: PH-035</t>
  </si>
  <si>
    <t>D3</t>
  </si>
  <si>
    <t>Confirmatory: PH-038</t>
  </si>
  <si>
    <t>No dedicated item for short-horizon vs. multi-year split</t>
  </si>
  <si>
    <t>D8</t>
  </si>
  <si>
    <t>D9</t>
  </si>
  <si>
    <t>D10</t>
  </si>
  <si>
    <t>Also PH-010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</si>
  <si>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</si>
  <si>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</si>
  <si>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</si>
  <si>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</si>
  <si>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</si>
  <si>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</si>
  <si>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</si>
  <si>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</si>
  <si>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</si>
  <si>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</si>
  <si>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Table 2 - IDs per document (derived from the 'Source Documents' column of the register)</t>
  </si>
  <si>
    <t>Document</t>
  </si>
  <si>
    <t>Register IDs</t>
  </si>
  <si>
    <t>Count</t>
  </si>
  <si>
    <t>PH-001, PH-002, PH-003, PH-004, PH-005, PH-006, PH-007, PH-008, PH-009, PH-010, PH-012, PH-015, PH-016, PH-017, PH-018, PH-019, PH-020, PH-021, PH-022, PH-023, PH-024, PH-025, PH-026, PH-027, PH-028, PH-033, PH-034, PH-035, PH-036, PH-037, PH-040, PH-041, PH-042, PH-043, PH-044, PH-045, PH-046, PH-047, PH-048, PH-049, PH-050, PH-051, PH-052, PH-053, PH-054, PH-055</t>
  </si>
  <si>
    <t>A.2.1 v1.3</t>
  </si>
  <si>
    <t>PH-003, PH-005, PH-006, PH-015, PH-016, PH-017, PH-018, PH-036</t>
  </si>
  <si>
    <t>A.2.2 v1.3</t>
  </si>
  <si>
    <t>PH-001, PH-002, PH-003, PH-006, PH-019, PH-021, PH-022, PH-024, PH-025, PH-033, PH-049, PH-050, PH-051, PH-052, PH-053, PH-054</t>
  </si>
  <si>
    <t>A.2.3 v1.4</t>
  </si>
  <si>
    <t>PH-001, PH-002, PH-021, PH-033, PH-034, PH-041, PH-055</t>
  </si>
  <si>
    <t>PH-001, PH-002, PH-005, PH-006, PH-021, PH-026, PH-027, PH-028, PH-029, PH-030, PH-031, PH-033, PH-034, PH-036, PH-040, PH-041, PH-054</t>
  </si>
  <si>
    <t>PH-015, PH-016, PH-017, PH-018, PH-032, PH-036, PH-038, PH-039, PH-043, PH-044, PH-045</t>
  </si>
  <si>
    <t>A.2.6 v0.3</t>
  </si>
  <si>
    <t>PH-005, PH-007, PH-009, PH-035, PH-042, PH-043, PH-047, PH-055</t>
  </si>
  <si>
    <t>A.2.7 v0.3</t>
  </si>
  <si>
    <t>PH-004, PH-010, PH-012, PH-046, PH-047, PH-048</t>
  </si>
  <si>
    <t>Legend</t>
  </si>
  <si>
    <t>Source of truth</t>
  </si>
  <si>
    <t>PH1-REG-001.md in the repo. This workbook is a transcription for tracking; if they differ, the markdown prevails and this file is regenerated.</t>
  </si>
  <si>
    <t>Type: Blocking</t>
  </si>
  <si>
    <t>Strategy B1-B6. Must be resolved in weeks 1-2.</t>
  </si>
  <si>
    <t>Type: Defaultable</t>
  </si>
  <si>
    <t>Proceeds under the working default if not confirmed by end of week 2.</t>
  </si>
  <si>
    <t>Type: Undefined</t>
  </si>
  <si>
    <t>ID cited in Stage A without a definition in the markdown register (red rows).</t>
  </si>
  <si>
    <t>Open / Answered / Deferred / Closed / Superseded / To define.</t>
  </si>
  <si>
    <t>Editable columns</t>
  </si>
  <si>
    <t>Status, ENGIE Response, Date Raised, Date Closed (yellow).</t>
  </si>
  <si>
    <t>Example response</t>
  </si>
  <si>
    <t>PH-019 -&gt; Status: Closed | ENGIE Response: 'Export allowed up to 500 kW; compensated at avoided-cost rate per utility schedule X' | Date Closed: 2026-10-07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</si>
</sst>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b/>
      <sz val="13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6000"/>
        <bgColor rgb="FF993300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6" fillId="0" borderId="0" xfId="0" applyFont="1"/>
    <xf numFmtId="0" fontId="7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0" xfId="0" applyFont="1"/>
    <xf numFmtId="0" fontId="9" fillId="0" borderId="0" xfId="0" applyFont="1"/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b/>
        <color rgb="FFFFFFFF"/>
        <name val="Arial"/>
        <charset val="1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8.6640625" defaultRowHeight="14.4" x14ac:dyDescent="0.3"/>
  <cols>
    <col min="1" max="1" width="9" customWidth="1"/>
    <col min="2" max="2" width="12" customWidth="1"/>
    <col min="3" max="3" width="30" customWidth="1"/>
    <col min="4" max="4" width="58" customWidth="1"/>
    <col min="5" max="5" width="42" customWidth="1"/>
    <col min="6" max="6" width="18" customWidth="1"/>
    <col min="7" max="7" width="34" customWidth="1"/>
    <col min="8" max="8" width="12" customWidth="1"/>
    <col min="9" max="9" width="40" customWidth="1"/>
    <col min="10" max="11" width="12" customWidth="1"/>
  </cols>
  <sheetData>
    <row r="1" spans="1:11" ht="17.399999999999999" x14ac:dyDescent="0.3">
      <c r="A1" s="1" t="s">
        <v>0</v>
      </c>
    </row>
    <row r="2" spans="1:11" x14ac:dyDescent="0.3">
      <c r="A2" s="2" t="s">
        <v>1</v>
      </c>
    </row>
    <row r="3" spans="1:11" x14ac:dyDescent="0.3">
      <c r="A3" s="3" t="s">
        <v>2</v>
      </c>
    </row>
    <row r="5" spans="1:11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 spans="1:11" ht="22.8" x14ac:dyDescent="0.3">
      <c r="A6" s="6" t="s">
        <v>14</v>
      </c>
      <c r="B6" s="7" t="s">
        <v>15</v>
      </c>
      <c r="C6" s="6" t="s">
        <v>16</v>
      </c>
      <c r="D6" s="7" t="s">
        <v>17</v>
      </c>
      <c r="E6" s="7" t="s">
        <v>18</v>
      </c>
      <c r="F6" s="7" t="s">
        <v>19</v>
      </c>
      <c r="G6" s="7" t="s">
        <v>20</v>
      </c>
      <c r="H6" s="8" t="s">
        <v>21</v>
      </c>
      <c r="I6" s="8"/>
      <c r="J6" s="8"/>
      <c r="K6" s="8"/>
    </row>
    <row r="7" spans="1:11" ht="24" x14ac:dyDescent="0.3">
      <c r="A7" s="6" t="s">
        <v>22</v>
      </c>
      <c r="B7" s="7" t="s">
        <v>15</v>
      </c>
      <c r="C7" s="6" t="s">
        <v>23</v>
      </c>
      <c r="D7" s="7" t="s">
        <v>24</v>
      </c>
      <c r="E7" s="7" t="s">
        <v>25</v>
      </c>
      <c r="F7" s="7" t="s">
        <v>19</v>
      </c>
      <c r="G7" s="7" t="s">
        <v>20</v>
      </c>
      <c r="H7" s="8" t="s">
        <v>21</v>
      </c>
      <c r="I7" s="8"/>
      <c r="J7" s="8"/>
      <c r="K7" s="8"/>
    </row>
    <row r="8" spans="1:11" ht="34.200000000000003" x14ac:dyDescent="0.3">
      <c r="A8" s="6" t="s">
        <v>26</v>
      </c>
      <c r="B8" s="7" t="s">
        <v>15</v>
      </c>
      <c r="C8" s="6" t="s">
        <v>27</v>
      </c>
      <c r="D8" s="7" t="s">
        <v>28</v>
      </c>
      <c r="E8" s="7" t="s">
        <v>29</v>
      </c>
      <c r="F8" s="7" t="s">
        <v>30</v>
      </c>
      <c r="G8" s="7" t="s">
        <v>31</v>
      </c>
      <c r="H8" s="8" t="s">
        <v>21</v>
      </c>
      <c r="I8" s="8"/>
      <c r="J8" s="8"/>
      <c r="K8" s="8"/>
    </row>
    <row r="9" spans="1:11" ht="22.8" x14ac:dyDescent="0.3">
      <c r="A9" s="6" t="s">
        <v>32</v>
      </c>
      <c r="B9" s="7" t="s">
        <v>15</v>
      </c>
      <c r="C9" s="6" t="s">
        <v>33</v>
      </c>
      <c r="D9" s="7" t="s">
        <v>34</v>
      </c>
      <c r="E9" s="7" t="s">
        <v>35</v>
      </c>
      <c r="F9" s="7" t="s">
        <v>36</v>
      </c>
      <c r="G9" s="7" t="s">
        <v>37</v>
      </c>
      <c r="H9" s="8" t="s">
        <v>21</v>
      </c>
      <c r="I9" s="8"/>
      <c r="J9" s="8"/>
      <c r="K9" s="8"/>
    </row>
    <row r="10" spans="1:11" ht="22.8" x14ac:dyDescent="0.3">
      <c r="A10" s="6" t="s">
        <v>38</v>
      </c>
      <c r="B10" s="7" t="s">
        <v>15</v>
      </c>
      <c r="C10" s="6" t="s">
        <v>39</v>
      </c>
      <c r="D10" s="7" t="s">
        <v>40</v>
      </c>
      <c r="E10" s="7" t="s">
        <v>41</v>
      </c>
      <c r="F10" s="7" t="s">
        <v>42</v>
      </c>
      <c r="G10" s="7" t="s">
        <v>43</v>
      </c>
      <c r="H10" s="8" t="s">
        <v>21</v>
      </c>
      <c r="I10" s="8"/>
      <c r="J10" s="8"/>
      <c r="K10" s="8"/>
    </row>
    <row r="11" spans="1:11" ht="22.8" x14ac:dyDescent="0.3">
      <c r="A11" s="6" t="s">
        <v>44</v>
      </c>
      <c r="B11" s="7" t="s">
        <v>15</v>
      </c>
      <c r="C11" s="6" t="s">
        <v>45</v>
      </c>
      <c r="D11" s="7" t="s">
        <v>46</v>
      </c>
      <c r="E11" s="7" t="s">
        <v>47</v>
      </c>
      <c r="F11" s="7" t="s">
        <v>48</v>
      </c>
      <c r="G11" s="7" t="s">
        <v>49</v>
      </c>
      <c r="H11" s="8" t="s">
        <v>21</v>
      </c>
      <c r="I11" s="8"/>
      <c r="J11" s="8"/>
      <c r="K11" s="8"/>
    </row>
    <row r="12" spans="1:11" ht="22.8" x14ac:dyDescent="0.3">
      <c r="A12" s="6" t="s">
        <v>50</v>
      </c>
      <c r="B12" s="7" t="s">
        <v>51</v>
      </c>
      <c r="C12" s="6" t="s">
        <v>52</v>
      </c>
      <c r="D12" s="7" t="s">
        <v>53</v>
      </c>
      <c r="E12" s="7" t="s">
        <v>54</v>
      </c>
      <c r="F12" s="7" t="s">
        <v>55</v>
      </c>
      <c r="G12" s="7" t="s">
        <v>56</v>
      </c>
      <c r="H12" s="8" t="s">
        <v>21</v>
      </c>
      <c r="I12" s="8"/>
      <c r="J12" s="8"/>
      <c r="K12" s="8"/>
    </row>
    <row r="13" spans="1:11" x14ac:dyDescent="0.3">
      <c r="A13" s="6" t="s">
        <v>57</v>
      </c>
      <c r="B13" s="7" t="s">
        <v>51</v>
      </c>
      <c r="C13" s="6" t="s">
        <v>58</v>
      </c>
      <c r="D13" s="7" t="s">
        <v>59</v>
      </c>
      <c r="E13" s="7" t="s">
        <v>60</v>
      </c>
      <c r="F13" s="7" t="s">
        <v>61</v>
      </c>
      <c r="G13" s="7" t="s">
        <v>62</v>
      </c>
      <c r="H13" s="8" t="s">
        <v>21</v>
      </c>
      <c r="I13" s="8"/>
      <c r="J13" s="8"/>
      <c r="K13" s="8"/>
    </row>
    <row r="14" spans="1:11" ht="24" x14ac:dyDescent="0.3">
      <c r="A14" s="6" t="s">
        <v>63</v>
      </c>
      <c r="B14" s="7" t="s">
        <v>51</v>
      </c>
      <c r="C14" s="6" t="s">
        <v>64</v>
      </c>
      <c r="D14" s="7" t="s">
        <v>65</v>
      </c>
      <c r="E14" s="7" t="s">
        <v>66</v>
      </c>
      <c r="F14" s="7" t="s">
        <v>67</v>
      </c>
      <c r="G14" s="7" t="s">
        <v>56</v>
      </c>
      <c r="H14" s="8" t="s">
        <v>21</v>
      </c>
      <c r="I14" s="8"/>
      <c r="J14" s="8"/>
      <c r="K14" s="8"/>
    </row>
    <row r="15" spans="1:11" ht="24" x14ac:dyDescent="0.3">
      <c r="A15" s="6" t="s">
        <v>68</v>
      </c>
      <c r="B15" s="7" t="s">
        <v>51</v>
      </c>
      <c r="C15" s="6" t="s">
        <v>69</v>
      </c>
      <c r="D15" s="7" t="s">
        <v>70</v>
      </c>
      <c r="E15" s="7" t="s">
        <v>71</v>
      </c>
      <c r="F15" s="7" t="s">
        <v>36</v>
      </c>
      <c r="G15" s="7" t="s">
        <v>37</v>
      </c>
      <c r="H15" s="8" t="s">
        <v>21</v>
      </c>
      <c r="I15" s="8"/>
      <c r="J15" s="8"/>
      <c r="K15" s="8"/>
    </row>
    <row r="16" spans="1:11" ht="22.8" x14ac:dyDescent="0.3">
      <c r="A16" s="9" t="s">
        <v>72</v>
      </c>
      <c r="B16" s="10" t="s">
        <v>73</v>
      </c>
      <c r="C16" s="9" t="s">
        <v>74</v>
      </c>
      <c r="D16" s="10" t="s">
        <v>75</v>
      </c>
      <c r="E16" s="10" t="s">
        <v>76</v>
      </c>
      <c r="F16" s="10" t="s">
        <v>76</v>
      </c>
      <c r="G16" s="10" t="s">
        <v>76</v>
      </c>
      <c r="H16" s="8" t="s">
        <v>77</v>
      </c>
      <c r="I16" s="8"/>
      <c r="J16" s="8"/>
      <c r="K16" s="8"/>
    </row>
    <row r="17" spans="1:11" ht="22.8" x14ac:dyDescent="0.3">
      <c r="A17" s="6" t="s">
        <v>78</v>
      </c>
      <c r="B17" s="7" t="s">
        <v>51</v>
      </c>
      <c r="C17" s="6" t="s">
        <v>79</v>
      </c>
      <c r="D17" s="7" t="s">
        <v>80</v>
      </c>
      <c r="E17" s="7" t="s">
        <v>81</v>
      </c>
      <c r="F17" s="7" t="s">
        <v>82</v>
      </c>
      <c r="G17" s="7" t="s">
        <v>37</v>
      </c>
      <c r="H17" s="8" t="s">
        <v>21</v>
      </c>
      <c r="I17" s="8"/>
      <c r="J17" s="8"/>
      <c r="K17" s="8"/>
    </row>
    <row r="18" spans="1:11" ht="22.8" x14ac:dyDescent="0.3">
      <c r="A18" s="9" t="s">
        <v>83</v>
      </c>
      <c r="B18" s="10" t="s">
        <v>73</v>
      </c>
      <c r="C18" s="9" t="s">
        <v>74</v>
      </c>
      <c r="D18" s="10" t="s">
        <v>75</v>
      </c>
      <c r="E18" s="10" t="s">
        <v>76</v>
      </c>
      <c r="F18" s="10" t="s">
        <v>76</v>
      </c>
      <c r="G18" s="10" t="s">
        <v>76</v>
      </c>
      <c r="H18" s="8" t="s">
        <v>77</v>
      </c>
      <c r="I18" s="8"/>
      <c r="J18" s="8"/>
      <c r="K18" s="8"/>
    </row>
    <row r="19" spans="1:11" ht="22.8" x14ac:dyDescent="0.3">
      <c r="A19" s="9" t="s">
        <v>84</v>
      </c>
      <c r="B19" s="10" t="s">
        <v>73</v>
      </c>
      <c r="C19" s="9" t="s">
        <v>74</v>
      </c>
      <c r="D19" s="10" t="s">
        <v>75</v>
      </c>
      <c r="E19" s="10" t="s">
        <v>76</v>
      </c>
      <c r="F19" s="10" t="s">
        <v>76</v>
      </c>
      <c r="G19" s="10" t="s">
        <v>76</v>
      </c>
      <c r="H19" s="8" t="s">
        <v>77</v>
      </c>
      <c r="I19" s="8"/>
      <c r="J19" s="8"/>
      <c r="K19" s="8"/>
    </row>
    <row r="20" spans="1:11" ht="22.8" x14ac:dyDescent="0.3">
      <c r="A20" s="6" t="s">
        <v>85</v>
      </c>
      <c r="B20" s="7" t="s">
        <v>51</v>
      </c>
      <c r="C20" s="6" t="s">
        <v>86</v>
      </c>
      <c r="D20" s="7" t="s">
        <v>87</v>
      </c>
      <c r="E20" s="7" t="s">
        <v>88</v>
      </c>
      <c r="F20" s="7" t="s">
        <v>89</v>
      </c>
      <c r="G20" s="7" t="s">
        <v>90</v>
      </c>
      <c r="H20" s="8" t="s">
        <v>21</v>
      </c>
      <c r="I20" s="8"/>
      <c r="J20" s="8"/>
      <c r="K20" s="8"/>
    </row>
    <row r="21" spans="1:11" ht="22.8" x14ac:dyDescent="0.3">
      <c r="A21" s="6" t="s">
        <v>91</v>
      </c>
      <c r="B21" s="7" t="s">
        <v>51</v>
      </c>
      <c r="C21" s="6" t="s">
        <v>92</v>
      </c>
      <c r="D21" s="7" t="s">
        <v>93</v>
      </c>
      <c r="E21" s="7" t="s">
        <v>94</v>
      </c>
      <c r="F21" s="7" t="s">
        <v>89</v>
      </c>
      <c r="G21" s="7" t="s">
        <v>90</v>
      </c>
      <c r="H21" s="8" t="s">
        <v>21</v>
      </c>
      <c r="I21" s="8"/>
      <c r="J21" s="8"/>
      <c r="K21" s="8"/>
    </row>
    <row r="22" spans="1:11" ht="24" x14ac:dyDescent="0.3">
      <c r="A22" s="6" t="s">
        <v>95</v>
      </c>
      <c r="B22" s="7" t="s">
        <v>51</v>
      </c>
      <c r="C22" s="6" t="s">
        <v>96</v>
      </c>
      <c r="D22" s="7" t="s">
        <v>97</v>
      </c>
      <c r="E22" s="7" t="s">
        <v>98</v>
      </c>
      <c r="F22" s="7" t="s">
        <v>89</v>
      </c>
      <c r="G22" s="7" t="s">
        <v>90</v>
      </c>
      <c r="H22" s="8" t="s">
        <v>21</v>
      </c>
      <c r="I22" s="8"/>
      <c r="J22" s="8"/>
      <c r="K22" s="8"/>
    </row>
    <row r="23" spans="1:11" ht="24" x14ac:dyDescent="0.3">
      <c r="A23" s="6" t="s">
        <v>99</v>
      </c>
      <c r="B23" s="7" t="s">
        <v>51</v>
      </c>
      <c r="C23" s="6" t="s">
        <v>100</v>
      </c>
      <c r="D23" s="7" t="s">
        <v>101</v>
      </c>
      <c r="E23" s="7" t="s">
        <v>102</v>
      </c>
      <c r="F23" s="7" t="s">
        <v>103</v>
      </c>
      <c r="G23" s="7" t="s">
        <v>90</v>
      </c>
      <c r="H23" s="8" t="s">
        <v>21</v>
      </c>
      <c r="I23" s="8"/>
      <c r="J23" s="8"/>
      <c r="K23" s="8"/>
    </row>
    <row r="24" spans="1:11" x14ac:dyDescent="0.3">
      <c r="A24" s="6" t="s">
        <v>104</v>
      </c>
      <c r="B24" s="7" t="s">
        <v>51</v>
      </c>
      <c r="C24" s="6" t="s">
        <v>105</v>
      </c>
      <c r="D24" s="7" t="s">
        <v>106</v>
      </c>
      <c r="E24" s="7" t="s">
        <v>107</v>
      </c>
      <c r="F24" s="7" t="s">
        <v>108</v>
      </c>
      <c r="G24" s="7" t="s">
        <v>109</v>
      </c>
      <c r="H24" s="8" t="s">
        <v>21</v>
      </c>
      <c r="I24" s="8"/>
      <c r="J24" s="8"/>
      <c r="K24" s="8"/>
    </row>
    <row r="25" spans="1:11" x14ac:dyDescent="0.3">
      <c r="A25" s="6" t="s">
        <v>110</v>
      </c>
      <c r="B25" s="7" t="s">
        <v>51</v>
      </c>
      <c r="C25" s="6" t="s">
        <v>111</v>
      </c>
      <c r="D25" s="7" t="s">
        <v>112</v>
      </c>
      <c r="E25" s="7" t="s">
        <v>113</v>
      </c>
      <c r="F25" s="7" t="s">
        <v>108</v>
      </c>
      <c r="G25" s="7" t="s">
        <v>62</v>
      </c>
      <c r="H25" s="8" t="s">
        <v>21</v>
      </c>
      <c r="I25" s="8"/>
      <c r="J25" s="8"/>
      <c r="K25" s="8"/>
    </row>
    <row r="26" spans="1:11" ht="24" x14ac:dyDescent="0.3">
      <c r="A26" s="6" t="s">
        <v>114</v>
      </c>
      <c r="B26" s="7" t="s">
        <v>51</v>
      </c>
      <c r="C26" s="6" t="s">
        <v>115</v>
      </c>
      <c r="D26" s="7" t="s">
        <v>116</v>
      </c>
      <c r="E26" s="7" t="s">
        <v>113</v>
      </c>
      <c r="F26" s="7" t="s">
        <v>117</v>
      </c>
      <c r="G26" s="7" t="s">
        <v>20</v>
      </c>
      <c r="H26" s="8" t="s">
        <v>21</v>
      </c>
      <c r="I26" s="8"/>
      <c r="J26" s="8"/>
      <c r="K26" s="8"/>
    </row>
    <row r="27" spans="1:11" ht="22.8" x14ac:dyDescent="0.3">
      <c r="A27" s="6" t="s">
        <v>118</v>
      </c>
      <c r="B27" s="7" t="s">
        <v>51</v>
      </c>
      <c r="C27" s="6" t="s">
        <v>119</v>
      </c>
      <c r="D27" s="7" t="s">
        <v>120</v>
      </c>
      <c r="E27" s="7" t="s">
        <v>121</v>
      </c>
      <c r="F27" s="7" t="s">
        <v>108</v>
      </c>
      <c r="G27" s="7" t="s">
        <v>109</v>
      </c>
      <c r="H27" s="8" t="s">
        <v>21</v>
      </c>
      <c r="I27" s="8"/>
      <c r="J27" s="8"/>
      <c r="K27" s="8"/>
    </row>
    <row r="28" spans="1:11" x14ac:dyDescent="0.3">
      <c r="A28" s="6" t="s">
        <v>122</v>
      </c>
      <c r="B28" s="7" t="s">
        <v>51</v>
      </c>
      <c r="C28" s="6" t="s">
        <v>123</v>
      </c>
      <c r="D28" s="7" t="s">
        <v>124</v>
      </c>
      <c r="E28" s="7" t="s">
        <v>125</v>
      </c>
      <c r="F28" s="7" t="s">
        <v>108</v>
      </c>
      <c r="G28" s="7" t="s">
        <v>62</v>
      </c>
      <c r="H28" s="8" t="s">
        <v>21</v>
      </c>
      <c r="I28" s="8"/>
      <c r="J28" s="8"/>
      <c r="K28" s="8"/>
    </row>
    <row r="29" spans="1:11" ht="22.8" x14ac:dyDescent="0.3">
      <c r="A29" s="6" t="s">
        <v>126</v>
      </c>
      <c r="B29" s="7" t="s">
        <v>51</v>
      </c>
      <c r="C29" s="6" t="s">
        <v>127</v>
      </c>
      <c r="D29" s="7" t="s">
        <v>128</v>
      </c>
      <c r="E29" s="7" t="s">
        <v>129</v>
      </c>
      <c r="F29" s="7" t="s">
        <v>130</v>
      </c>
      <c r="G29" s="7" t="s">
        <v>109</v>
      </c>
      <c r="H29" s="8" t="s">
        <v>21</v>
      </c>
      <c r="I29" s="8"/>
      <c r="J29" s="8"/>
      <c r="K29" s="8"/>
    </row>
    <row r="30" spans="1:11" ht="22.8" x14ac:dyDescent="0.3">
      <c r="A30" s="6" t="s">
        <v>131</v>
      </c>
      <c r="B30" s="7" t="s">
        <v>51</v>
      </c>
      <c r="C30" s="6" t="s">
        <v>132</v>
      </c>
      <c r="D30" s="7" t="s">
        <v>133</v>
      </c>
      <c r="E30" s="7" t="s">
        <v>134</v>
      </c>
      <c r="F30" s="7" t="s">
        <v>108</v>
      </c>
      <c r="G30" s="7" t="s">
        <v>109</v>
      </c>
      <c r="H30" s="8" t="s">
        <v>21</v>
      </c>
      <c r="I30" s="8"/>
      <c r="J30" s="8"/>
      <c r="K30" s="8"/>
    </row>
    <row r="31" spans="1:11" x14ac:dyDescent="0.3">
      <c r="A31" s="6" t="s">
        <v>135</v>
      </c>
      <c r="B31" s="7" t="s">
        <v>51</v>
      </c>
      <c r="C31" s="6" t="s">
        <v>136</v>
      </c>
      <c r="D31" s="7" t="s">
        <v>137</v>
      </c>
      <c r="E31" s="7" t="s">
        <v>138</v>
      </c>
      <c r="F31" s="7" t="s">
        <v>139</v>
      </c>
      <c r="G31" s="7" t="s">
        <v>140</v>
      </c>
      <c r="H31" s="8" t="s">
        <v>21</v>
      </c>
      <c r="I31" s="8"/>
      <c r="J31" s="8"/>
      <c r="K31" s="8"/>
    </row>
    <row r="32" spans="1:11" x14ac:dyDescent="0.3">
      <c r="A32" s="6" t="s">
        <v>141</v>
      </c>
      <c r="B32" s="7" t="s">
        <v>51</v>
      </c>
      <c r="C32" s="6" t="s">
        <v>142</v>
      </c>
      <c r="D32" s="7" t="s">
        <v>143</v>
      </c>
      <c r="E32" s="7" t="s">
        <v>144</v>
      </c>
      <c r="F32" s="7" t="s">
        <v>139</v>
      </c>
      <c r="G32" s="7" t="s">
        <v>140</v>
      </c>
      <c r="H32" s="8" t="s">
        <v>21</v>
      </c>
      <c r="I32" s="8"/>
      <c r="J32" s="8"/>
      <c r="K32" s="8"/>
    </row>
    <row r="33" spans="1:11" ht="22.8" x14ac:dyDescent="0.3">
      <c r="A33" s="6" t="s">
        <v>145</v>
      </c>
      <c r="B33" s="7" t="s">
        <v>51</v>
      </c>
      <c r="C33" s="6" t="s">
        <v>146</v>
      </c>
      <c r="D33" s="7" t="s">
        <v>147</v>
      </c>
      <c r="E33" s="7" t="s">
        <v>148</v>
      </c>
      <c r="F33" s="7" t="s">
        <v>139</v>
      </c>
      <c r="G33" s="7" t="s">
        <v>140</v>
      </c>
      <c r="H33" s="8" t="s">
        <v>21</v>
      </c>
      <c r="I33" s="8"/>
      <c r="J33" s="8"/>
      <c r="K33" s="8"/>
    </row>
    <row r="34" spans="1:11" x14ac:dyDescent="0.3">
      <c r="A34" s="6" t="s">
        <v>149</v>
      </c>
      <c r="B34" s="7" t="s">
        <v>51</v>
      </c>
      <c r="C34" s="6" t="s">
        <v>150</v>
      </c>
      <c r="D34" s="7" t="s">
        <v>151</v>
      </c>
      <c r="E34" s="7" t="s">
        <v>152</v>
      </c>
      <c r="F34" s="7" t="s">
        <v>139</v>
      </c>
      <c r="G34" s="7" t="s">
        <v>153</v>
      </c>
      <c r="H34" s="8" t="s">
        <v>21</v>
      </c>
      <c r="I34" s="8"/>
      <c r="J34" s="8"/>
      <c r="K34" s="8"/>
    </row>
    <row r="35" spans="1:11" x14ac:dyDescent="0.3">
      <c r="A35" s="6" t="s">
        <v>154</v>
      </c>
      <c r="B35" s="7" t="s">
        <v>51</v>
      </c>
      <c r="C35" s="6" t="s">
        <v>155</v>
      </c>
      <c r="D35" s="7" t="s">
        <v>156</v>
      </c>
      <c r="E35" s="7" t="s">
        <v>157</v>
      </c>
      <c r="F35" s="7" t="s">
        <v>139</v>
      </c>
      <c r="G35" s="7" t="s">
        <v>153</v>
      </c>
      <c r="H35" s="8" t="s">
        <v>21</v>
      </c>
      <c r="I35" s="8"/>
      <c r="J35" s="8"/>
      <c r="K35" s="8"/>
    </row>
    <row r="36" spans="1:11" ht="24" x14ac:dyDescent="0.3">
      <c r="A36" s="6" t="s">
        <v>158</v>
      </c>
      <c r="B36" s="7" t="s">
        <v>51</v>
      </c>
      <c r="C36" s="6" t="s">
        <v>159</v>
      </c>
      <c r="D36" s="7" t="s">
        <v>160</v>
      </c>
      <c r="E36" s="7" t="s">
        <v>161</v>
      </c>
      <c r="F36" s="7" t="s">
        <v>139</v>
      </c>
      <c r="G36" s="7" t="s">
        <v>153</v>
      </c>
      <c r="H36" s="8" t="s">
        <v>21</v>
      </c>
      <c r="I36" s="8"/>
      <c r="J36" s="8"/>
      <c r="K36" s="8"/>
    </row>
    <row r="37" spans="1:11" x14ac:dyDescent="0.3">
      <c r="A37" s="6" t="s">
        <v>162</v>
      </c>
      <c r="B37" s="7" t="s">
        <v>51</v>
      </c>
      <c r="C37" s="6" t="s">
        <v>163</v>
      </c>
      <c r="D37" s="7" t="s">
        <v>164</v>
      </c>
      <c r="E37" s="7" t="s">
        <v>165</v>
      </c>
      <c r="F37" s="7" t="s">
        <v>103</v>
      </c>
      <c r="G37" s="7" t="s">
        <v>166</v>
      </c>
      <c r="H37" s="8" t="s">
        <v>21</v>
      </c>
      <c r="I37" s="8"/>
      <c r="J37" s="8"/>
      <c r="K37" s="8"/>
    </row>
    <row r="38" spans="1:11" ht="24" x14ac:dyDescent="0.3">
      <c r="A38" s="6" t="s">
        <v>167</v>
      </c>
      <c r="B38" s="7" t="s">
        <v>51</v>
      </c>
      <c r="C38" s="6" t="s">
        <v>168</v>
      </c>
      <c r="D38" s="7" t="s">
        <v>169</v>
      </c>
      <c r="E38" s="7" t="s">
        <v>170</v>
      </c>
      <c r="F38" s="7" t="s">
        <v>19</v>
      </c>
      <c r="G38" s="7" t="s">
        <v>20</v>
      </c>
      <c r="H38" s="8" t="s">
        <v>21</v>
      </c>
      <c r="I38" s="8"/>
      <c r="J38" s="8"/>
      <c r="K38" s="8"/>
    </row>
    <row r="39" spans="1:11" ht="22.8" x14ac:dyDescent="0.3">
      <c r="A39" s="6" t="s">
        <v>171</v>
      </c>
      <c r="B39" s="7" t="s">
        <v>51</v>
      </c>
      <c r="C39" s="6" t="s">
        <v>172</v>
      </c>
      <c r="D39" s="7" t="s">
        <v>173</v>
      </c>
      <c r="E39" s="7" t="s">
        <v>174</v>
      </c>
      <c r="F39" s="7" t="s">
        <v>175</v>
      </c>
      <c r="G39" s="7" t="s">
        <v>176</v>
      </c>
      <c r="H39" s="8" t="s">
        <v>21</v>
      </c>
      <c r="I39" s="8"/>
      <c r="J39" s="8"/>
      <c r="K39" s="8"/>
    </row>
    <row r="40" spans="1:11" ht="22.8" x14ac:dyDescent="0.3">
      <c r="A40" s="6" t="s">
        <v>177</v>
      </c>
      <c r="B40" s="7" t="s">
        <v>51</v>
      </c>
      <c r="C40" s="6" t="s">
        <v>178</v>
      </c>
      <c r="D40" s="7" t="s">
        <v>179</v>
      </c>
      <c r="E40" s="7" t="s">
        <v>180</v>
      </c>
      <c r="F40" s="7" t="s">
        <v>67</v>
      </c>
      <c r="G40" s="7" t="s">
        <v>56</v>
      </c>
      <c r="H40" s="8" t="s">
        <v>21</v>
      </c>
      <c r="I40" s="8"/>
      <c r="J40" s="8"/>
      <c r="K40" s="8"/>
    </row>
    <row r="41" spans="1:11" ht="22.8" x14ac:dyDescent="0.3">
      <c r="A41" s="6" t="s">
        <v>181</v>
      </c>
      <c r="B41" s="7" t="s">
        <v>51</v>
      </c>
      <c r="C41" s="6" t="s">
        <v>182</v>
      </c>
      <c r="D41" s="7" t="s">
        <v>183</v>
      </c>
      <c r="E41" s="7" t="s">
        <v>184</v>
      </c>
      <c r="F41" s="7" t="s">
        <v>185</v>
      </c>
      <c r="G41" s="7" t="s">
        <v>186</v>
      </c>
      <c r="H41" s="8" t="s">
        <v>21</v>
      </c>
      <c r="I41" s="8"/>
      <c r="J41" s="8"/>
      <c r="K41" s="8"/>
    </row>
    <row r="42" spans="1:11" x14ac:dyDescent="0.3">
      <c r="A42" s="6" t="s">
        <v>187</v>
      </c>
      <c r="B42" s="7" t="s">
        <v>51</v>
      </c>
      <c r="C42" s="6" t="s">
        <v>188</v>
      </c>
      <c r="D42" s="7" t="s">
        <v>189</v>
      </c>
      <c r="E42" s="7" t="s">
        <v>190</v>
      </c>
      <c r="F42" s="7" t="s">
        <v>103</v>
      </c>
      <c r="G42" s="7" t="s">
        <v>62</v>
      </c>
      <c r="H42" s="8" t="s">
        <v>21</v>
      </c>
      <c r="I42" s="8"/>
      <c r="J42" s="8"/>
      <c r="K42" s="8"/>
    </row>
    <row r="43" spans="1:11" ht="24" x14ac:dyDescent="0.3">
      <c r="A43" s="6" t="s">
        <v>191</v>
      </c>
      <c r="B43" s="7" t="s">
        <v>51</v>
      </c>
      <c r="C43" s="6" t="s">
        <v>192</v>
      </c>
      <c r="D43" s="7" t="s">
        <v>193</v>
      </c>
      <c r="E43" s="7" t="s">
        <v>194</v>
      </c>
      <c r="F43" s="7" t="s">
        <v>103</v>
      </c>
      <c r="G43" s="7" t="s">
        <v>166</v>
      </c>
      <c r="H43" s="8" t="s">
        <v>21</v>
      </c>
      <c r="I43" s="8"/>
      <c r="J43" s="8"/>
      <c r="K43" s="8"/>
    </row>
    <row r="44" spans="1:11" ht="24" x14ac:dyDescent="0.3">
      <c r="A44" s="6" t="s">
        <v>195</v>
      </c>
      <c r="B44" s="7" t="s">
        <v>51</v>
      </c>
      <c r="C44" s="6" t="s">
        <v>196</v>
      </c>
      <c r="D44" s="7" t="s">
        <v>197</v>
      </c>
      <c r="E44" s="7" t="s">
        <v>198</v>
      </c>
      <c r="F44" s="7" t="s">
        <v>103</v>
      </c>
      <c r="G44" s="7" t="s">
        <v>166</v>
      </c>
      <c r="H44" s="8" t="s">
        <v>21</v>
      </c>
      <c r="I44" s="8"/>
      <c r="J44" s="8"/>
      <c r="K44" s="8"/>
    </row>
    <row r="45" spans="1:11" ht="24" x14ac:dyDescent="0.3">
      <c r="A45" s="6" t="s">
        <v>199</v>
      </c>
      <c r="B45" s="7" t="s">
        <v>51</v>
      </c>
      <c r="C45" s="6" t="s">
        <v>200</v>
      </c>
      <c r="D45" s="7" t="s">
        <v>201</v>
      </c>
      <c r="E45" s="7" t="s">
        <v>202</v>
      </c>
      <c r="F45" s="7" t="s">
        <v>203</v>
      </c>
      <c r="G45" s="7" t="s">
        <v>140</v>
      </c>
      <c r="H45" s="8" t="s">
        <v>21</v>
      </c>
      <c r="I45" s="8"/>
      <c r="J45" s="8"/>
      <c r="K45" s="8"/>
    </row>
    <row r="46" spans="1:11" ht="22.8" x14ac:dyDescent="0.3">
      <c r="A46" s="6" t="s">
        <v>204</v>
      </c>
      <c r="B46" s="7" t="s">
        <v>51</v>
      </c>
      <c r="C46" s="6" t="s">
        <v>205</v>
      </c>
      <c r="D46" s="7" t="s">
        <v>206</v>
      </c>
      <c r="E46" s="7" t="s">
        <v>207</v>
      </c>
      <c r="F46" s="7" t="s">
        <v>175</v>
      </c>
      <c r="G46" s="7" t="s">
        <v>176</v>
      </c>
      <c r="H46" s="8" t="s">
        <v>21</v>
      </c>
      <c r="I46" s="8"/>
      <c r="J46" s="8"/>
      <c r="K46" s="8"/>
    </row>
    <row r="47" spans="1:11" ht="22.8" x14ac:dyDescent="0.3">
      <c r="A47" s="6" t="s">
        <v>208</v>
      </c>
      <c r="B47" s="7" t="s">
        <v>51</v>
      </c>
      <c r="C47" s="6" t="s">
        <v>209</v>
      </c>
      <c r="D47" s="7" t="s">
        <v>210</v>
      </c>
      <c r="E47" s="7" t="s">
        <v>211</v>
      </c>
      <c r="F47" s="7" t="s">
        <v>67</v>
      </c>
      <c r="G47" s="7" t="s">
        <v>56</v>
      </c>
      <c r="H47" s="8" t="s">
        <v>21</v>
      </c>
      <c r="I47" s="8"/>
      <c r="J47" s="8"/>
      <c r="K47" s="8"/>
    </row>
    <row r="48" spans="1:11" ht="22.8" x14ac:dyDescent="0.3">
      <c r="A48" s="6" t="s">
        <v>212</v>
      </c>
      <c r="B48" s="7" t="s">
        <v>51</v>
      </c>
      <c r="C48" s="6" t="s">
        <v>213</v>
      </c>
      <c r="D48" s="7" t="s">
        <v>214</v>
      </c>
      <c r="E48" s="7" t="s">
        <v>215</v>
      </c>
      <c r="F48" s="7" t="s">
        <v>216</v>
      </c>
      <c r="G48" s="7" t="s">
        <v>217</v>
      </c>
      <c r="H48" s="8" t="s">
        <v>21</v>
      </c>
      <c r="I48" s="8"/>
      <c r="J48" s="8"/>
      <c r="K48" s="8"/>
    </row>
    <row r="49" spans="1:11" x14ac:dyDescent="0.3">
      <c r="A49" s="6" t="s">
        <v>218</v>
      </c>
      <c r="B49" s="7" t="s">
        <v>51</v>
      </c>
      <c r="C49" s="6" t="s">
        <v>219</v>
      </c>
      <c r="D49" s="7" t="s">
        <v>220</v>
      </c>
      <c r="E49" s="7" t="s">
        <v>221</v>
      </c>
      <c r="F49" s="7" t="s">
        <v>222</v>
      </c>
      <c r="G49" s="7" t="s">
        <v>223</v>
      </c>
      <c r="H49" s="8" t="s">
        <v>21</v>
      </c>
      <c r="I49" s="8"/>
      <c r="J49" s="8"/>
      <c r="K49" s="8"/>
    </row>
    <row r="50" spans="1:11" x14ac:dyDescent="0.3">
      <c r="A50" s="6" t="s">
        <v>224</v>
      </c>
      <c r="B50" s="7" t="s">
        <v>51</v>
      </c>
      <c r="C50" s="6" t="s">
        <v>225</v>
      </c>
      <c r="D50" s="7" t="s">
        <v>226</v>
      </c>
      <c r="E50" s="7" t="s">
        <v>227</v>
      </c>
      <c r="F50" s="7" t="s">
        <v>222</v>
      </c>
      <c r="G50" s="7" t="s">
        <v>223</v>
      </c>
      <c r="H50" s="8" t="s">
        <v>21</v>
      </c>
      <c r="I50" s="8"/>
      <c r="J50" s="8"/>
      <c r="K50" s="8"/>
    </row>
    <row r="51" spans="1:11" ht="22.8" x14ac:dyDescent="0.3">
      <c r="A51" s="6" t="s">
        <v>228</v>
      </c>
      <c r="B51" s="7" t="s">
        <v>51</v>
      </c>
      <c r="C51" s="6" t="s">
        <v>229</v>
      </c>
      <c r="D51" s="7" t="s">
        <v>230</v>
      </c>
      <c r="E51" s="7" t="s">
        <v>231</v>
      </c>
      <c r="F51" s="7" t="s">
        <v>36</v>
      </c>
      <c r="G51" s="7" t="s">
        <v>37</v>
      </c>
      <c r="H51" s="8" t="s">
        <v>21</v>
      </c>
      <c r="I51" s="8"/>
      <c r="J51" s="8"/>
      <c r="K51" s="8"/>
    </row>
    <row r="52" spans="1:11" ht="22.8" x14ac:dyDescent="0.3">
      <c r="A52" s="6" t="s">
        <v>232</v>
      </c>
      <c r="B52" s="7" t="s">
        <v>51</v>
      </c>
      <c r="C52" s="6" t="s">
        <v>233</v>
      </c>
      <c r="D52" s="7" t="s">
        <v>234</v>
      </c>
      <c r="E52" s="7" t="s">
        <v>235</v>
      </c>
      <c r="F52" s="7" t="s">
        <v>236</v>
      </c>
      <c r="G52" s="7" t="s">
        <v>237</v>
      </c>
      <c r="H52" s="8" t="s">
        <v>21</v>
      </c>
      <c r="I52" s="8"/>
      <c r="J52" s="8"/>
      <c r="K52" s="8"/>
    </row>
    <row r="53" spans="1:11" ht="22.8" x14ac:dyDescent="0.3">
      <c r="A53" s="6" t="s">
        <v>238</v>
      </c>
      <c r="B53" s="7" t="s">
        <v>51</v>
      </c>
      <c r="C53" s="6" t="s">
        <v>239</v>
      </c>
      <c r="D53" s="7" t="s">
        <v>240</v>
      </c>
      <c r="E53" s="7" t="s">
        <v>241</v>
      </c>
      <c r="F53" s="7" t="s">
        <v>36</v>
      </c>
      <c r="G53" s="7" t="s">
        <v>37</v>
      </c>
      <c r="H53" s="8" t="s">
        <v>21</v>
      </c>
      <c r="I53" s="8"/>
      <c r="J53" s="8"/>
      <c r="K53" s="8"/>
    </row>
    <row r="54" spans="1:11" x14ac:dyDescent="0.3">
      <c r="A54" s="6" t="s">
        <v>242</v>
      </c>
      <c r="B54" s="7" t="s">
        <v>51</v>
      </c>
      <c r="C54" s="6" t="s">
        <v>243</v>
      </c>
      <c r="D54" s="7" t="s">
        <v>244</v>
      </c>
      <c r="E54" s="7" t="s">
        <v>245</v>
      </c>
      <c r="F54" s="7" t="s">
        <v>246</v>
      </c>
      <c r="G54" s="7" t="s">
        <v>109</v>
      </c>
      <c r="H54" s="8" t="s">
        <v>21</v>
      </c>
      <c r="I54" s="8"/>
      <c r="J54" s="8"/>
      <c r="K54" s="8"/>
    </row>
    <row r="55" spans="1:11" ht="22.8" x14ac:dyDescent="0.3">
      <c r="A55" s="6" t="s">
        <v>247</v>
      </c>
      <c r="B55" s="7" t="s">
        <v>51</v>
      </c>
      <c r="C55" s="6" t="s">
        <v>248</v>
      </c>
      <c r="D55" s="7" t="s">
        <v>249</v>
      </c>
      <c r="E55" s="7" t="s">
        <v>134</v>
      </c>
      <c r="F55" s="7" t="s">
        <v>246</v>
      </c>
      <c r="G55" s="7" t="s">
        <v>109</v>
      </c>
      <c r="H55" s="8" t="s">
        <v>21</v>
      </c>
      <c r="I55" s="8"/>
      <c r="J55" s="8"/>
      <c r="K55" s="8"/>
    </row>
    <row r="56" spans="1:11" ht="22.8" x14ac:dyDescent="0.3">
      <c r="A56" s="6" t="s">
        <v>250</v>
      </c>
      <c r="B56" s="7" t="s">
        <v>51</v>
      </c>
      <c r="C56" s="6" t="s">
        <v>251</v>
      </c>
      <c r="D56" s="7" t="s">
        <v>252</v>
      </c>
      <c r="E56" s="7" t="s">
        <v>253</v>
      </c>
      <c r="F56" s="7" t="s">
        <v>246</v>
      </c>
      <c r="G56" s="7" t="s">
        <v>109</v>
      </c>
      <c r="H56" s="8" t="s">
        <v>21</v>
      </c>
      <c r="I56" s="8"/>
      <c r="J56" s="8"/>
      <c r="K56" s="8"/>
    </row>
    <row r="57" spans="1:11" x14ac:dyDescent="0.3">
      <c r="A57" s="6" t="s">
        <v>254</v>
      </c>
      <c r="B57" s="7" t="s">
        <v>51</v>
      </c>
      <c r="C57" s="6" t="s">
        <v>255</v>
      </c>
      <c r="D57" s="7" t="s">
        <v>256</v>
      </c>
      <c r="E57" s="7" t="s">
        <v>257</v>
      </c>
      <c r="F57" s="7" t="s">
        <v>246</v>
      </c>
      <c r="G57" s="7" t="s">
        <v>109</v>
      </c>
      <c r="H57" s="8" t="s">
        <v>21</v>
      </c>
      <c r="I57" s="8"/>
      <c r="J57" s="8"/>
      <c r="K57" s="8"/>
    </row>
    <row r="58" spans="1:11" x14ac:dyDescent="0.3">
      <c r="A58" s="6" t="s">
        <v>258</v>
      </c>
      <c r="B58" s="7" t="s">
        <v>51</v>
      </c>
      <c r="C58" s="6" t="s">
        <v>259</v>
      </c>
      <c r="D58" s="7" t="s">
        <v>260</v>
      </c>
      <c r="E58" s="7" t="s">
        <v>261</v>
      </c>
      <c r="F58" s="7" t="s">
        <v>246</v>
      </c>
      <c r="G58" s="7" t="s">
        <v>109</v>
      </c>
      <c r="H58" s="8" t="s">
        <v>21</v>
      </c>
      <c r="I58" s="8"/>
      <c r="J58" s="8"/>
      <c r="K58" s="8"/>
    </row>
    <row r="59" spans="1:11" ht="22.8" x14ac:dyDescent="0.3">
      <c r="A59" s="6" t="s">
        <v>262</v>
      </c>
      <c r="B59" s="7" t="s">
        <v>51</v>
      </c>
      <c r="C59" s="6" t="s">
        <v>263</v>
      </c>
      <c r="D59" s="7" t="s">
        <v>264</v>
      </c>
      <c r="E59" s="7" t="s">
        <v>265</v>
      </c>
      <c r="F59" s="7" t="s">
        <v>266</v>
      </c>
      <c r="G59" s="7" t="s">
        <v>267</v>
      </c>
      <c r="H59" s="8" t="s">
        <v>21</v>
      </c>
      <c r="I59" s="8"/>
      <c r="J59" s="8"/>
      <c r="K59" s="8"/>
    </row>
    <row r="60" spans="1:11" ht="24" x14ac:dyDescent="0.3">
      <c r="A60" s="6" t="s">
        <v>268</v>
      </c>
      <c r="B60" s="7" t="s">
        <v>51</v>
      </c>
      <c r="C60" s="6" t="s">
        <v>269</v>
      </c>
      <c r="D60" s="7" t="s">
        <v>270</v>
      </c>
      <c r="E60" s="7" t="s">
        <v>271</v>
      </c>
      <c r="F60" s="7" t="s">
        <v>272</v>
      </c>
      <c r="G60" s="7" t="s">
        <v>273</v>
      </c>
      <c r="H60" s="8" t="s">
        <v>21</v>
      </c>
      <c r="I60" s="8"/>
      <c r="J60" s="8"/>
      <c r="K60" s="8"/>
    </row>
  </sheetData>
  <autoFilter ref="A5:K60" xr:uid="{00000000-0009-0000-0000-000000000000}"/>
  <conditionalFormatting sqref="B6:B60">
    <cfRule type="expression" dxfId="0" priority="2">
      <formula>$B6="Blocking"</formula>
    </cfRule>
  </conditionalFormatting>
  <dataValidations count="1">
    <dataValidation type="list" sqref="H6:H60" xr:uid="{00000000-0002-0000-0000-000000000000}">
      <formula1>"Open,Answered,Deferred,Closed,Superseded,To define"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/>
  </sheetViews>
  <sheetFormatPr baseColWidth="10" defaultColWidth="8.6640625" defaultRowHeight="14.4" x14ac:dyDescent="0.3"/>
  <cols>
    <col min="1" max="1" width="22" customWidth="1"/>
    <col min="2" max="4" width="18" customWidth="1"/>
  </cols>
  <sheetData>
    <row r="1" spans="1:4" ht="16.8" x14ac:dyDescent="0.3">
      <c r="A1" s="11" t="s">
        <v>274</v>
      </c>
    </row>
    <row r="3" spans="1:4" x14ac:dyDescent="0.3">
      <c r="A3" s="12" t="s">
        <v>4</v>
      </c>
      <c r="B3" s="12" t="s">
        <v>275</v>
      </c>
      <c r="C3" s="12" t="s">
        <v>21</v>
      </c>
      <c r="D3" s="12" t="s">
        <v>276</v>
      </c>
    </row>
    <row r="4" spans="1:4" x14ac:dyDescent="0.3">
      <c r="A4" s="13" t="s">
        <v>15</v>
      </c>
      <c r="B4" s="13">
        <f>COUNTIF(Register!$B$6:$B$60,A4)</f>
        <v>6</v>
      </c>
      <c r="C4" s="13">
        <f>COUNTIFS(Register!$B$6:$B$60,A4,Register!$H$6:$H$60,"Open")</f>
        <v>6</v>
      </c>
      <c r="D4" s="13">
        <f>COUNTIFS(Register!$B$6:$B$60,A4,Register!$H$6:$H$60,"Answered")+COUNTIFS(Register!$B$6:$B$60,A4,Register!$H$6:$H$60,"Closed")</f>
        <v>0</v>
      </c>
    </row>
    <row r="5" spans="1:4" x14ac:dyDescent="0.3">
      <c r="A5" s="13" t="s">
        <v>51</v>
      </c>
      <c r="B5" s="13">
        <f>COUNTIF(Register!$B$6:$B$60,A5)</f>
        <v>46</v>
      </c>
      <c r="C5" s="13">
        <f>COUNTIFS(Register!$B$6:$B$60,A5,Register!$H$6:$H$60,"Open")</f>
        <v>46</v>
      </c>
      <c r="D5" s="13">
        <f>COUNTIFS(Register!$B$6:$B$60,A5,Register!$H$6:$H$60,"Answered")+COUNTIFS(Register!$B$6:$B$60,A5,Register!$H$6:$H$60,"Closed")</f>
        <v>0</v>
      </c>
    </row>
    <row r="6" spans="1:4" x14ac:dyDescent="0.3">
      <c r="A6" s="13" t="s">
        <v>73</v>
      </c>
      <c r="B6" s="13">
        <f>COUNTIF(Register!$B$6:$B$60,A6)</f>
        <v>3</v>
      </c>
      <c r="C6" s="13">
        <f>COUNTIFS(Register!$B$6:$B$60,A6,Register!$H$6:$H$60,"Open")</f>
        <v>0</v>
      </c>
      <c r="D6" s="13">
        <f>COUNTIFS(Register!$B$6:$B$60,A6,Register!$H$6:$H$60,"Answered")+COUNTIFS(Register!$B$6:$B$60,A6,Register!$H$6:$H$60,"Closed")</f>
        <v>0</v>
      </c>
    </row>
    <row r="7" spans="1:4" x14ac:dyDescent="0.3">
      <c r="A7" s="14" t="s">
        <v>275</v>
      </c>
      <c r="B7" s="14">
        <f>SUM(B4:B6)</f>
        <v>55</v>
      </c>
      <c r="C7" s="14">
        <f>SUM(C4:C6)</f>
        <v>52</v>
      </c>
      <c r="D7" s="14">
        <f>SUM(D4:D6)</f>
        <v>0</v>
      </c>
    </row>
    <row r="9" spans="1:4" x14ac:dyDescent="0.3">
      <c r="A9" s="2" t="s">
        <v>277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zoomScaleNormal="100" workbookViewId="0"/>
  </sheetViews>
  <sheetFormatPr baseColWidth="10" defaultColWidth="8.6640625" defaultRowHeight="14.4" x14ac:dyDescent="0.3"/>
  <cols>
    <col min="1" max="1" width="26" customWidth="1"/>
    <col min="2" max="2" width="95" customWidth="1"/>
    <col min="3" max="3" width="40" customWidth="1"/>
  </cols>
  <sheetData>
    <row r="1" spans="1:3" ht="16.8" x14ac:dyDescent="0.3">
      <c r="A1" s="11" t="s">
        <v>278</v>
      </c>
    </row>
    <row r="3" spans="1:3" x14ac:dyDescent="0.3">
      <c r="A3" s="15" t="s">
        <v>279</v>
      </c>
    </row>
    <row r="4" spans="1:3" x14ac:dyDescent="0.3">
      <c r="A4" s="12" t="s">
        <v>280</v>
      </c>
      <c r="B4" s="12" t="s">
        <v>281</v>
      </c>
      <c r="C4" s="12" t="s">
        <v>282</v>
      </c>
    </row>
    <row r="5" spans="1:3" x14ac:dyDescent="0.3">
      <c r="A5" s="7" t="s">
        <v>283</v>
      </c>
      <c r="B5" s="7" t="s">
        <v>14</v>
      </c>
      <c r="C5" s="7"/>
    </row>
    <row r="6" spans="1:3" x14ac:dyDescent="0.3">
      <c r="A6" s="7" t="s">
        <v>284</v>
      </c>
      <c r="B6" s="7" t="s">
        <v>22</v>
      </c>
      <c r="C6" s="7"/>
    </row>
    <row r="7" spans="1:3" x14ac:dyDescent="0.3">
      <c r="A7" s="7" t="s">
        <v>285</v>
      </c>
      <c r="B7" s="7" t="s">
        <v>26</v>
      </c>
      <c r="C7" s="7"/>
    </row>
    <row r="8" spans="1:3" x14ac:dyDescent="0.3">
      <c r="A8" s="7" t="s">
        <v>286</v>
      </c>
      <c r="B8" s="7" t="s">
        <v>38</v>
      </c>
      <c r="C8" s="7"/>
    </row>
    <row r="9" spans="1:3" x14ac:dyDescent="0.3">
      <c r="A9" s="7" t="s">
        <v>287</v>
      </c>
      <c r="B9" s="7" t="s">
        <v>44</v>
      </c>
      <c r="C9" s="7"/>
    </row>
    <row r="10" spans="1:3" x14ac:dyDescent="0.3">
      <c r="A10" s="7" t="s">
        <v>288</v>
      </c>
      <c r="B10" s="7" t="s">
        <v>32</v>
      </c>
      <c r="C10" s="7" t="s">
        <v>289</v>
      </c>
    </row>
    <row r="11" spans="1:3" x14ac:dyDescent="0.3">
      <c r="A11" s="7" t="s">
        <v>290</v>
      </c>
      <c r="B11" s="7" t="s">
        <v>171</v>
      </c>
      <c r="C11" s="7"/>
    </row>
    <row r="12" spans="1:3" x14ac:dyDescent="0.3">
      <c r="A12" s="7" t="s">
        <v>108</v>
      </c>
      <c r="B12" s="7" t="s">
        <v>167</v>
      </c>
      <c r="C12" s="7" t="s">
        <v>291</v>
      </c>
    </row>
    <row r="13" spans="1:3" x14ac:dyDescent="0.3">
      <c r="A13" s="7" t="s">
        <v>292</v>
      </c>
      <c r="B13" s="7" t="s">
        <v>181</v>
      </c>
      <c r="C13" s="7" t="s">
        <v>293</v>
      </c>
    </row>
    <row r="14" spans="1:3" x14ac:dyDescent="0.3">
      <c r="A14" s="7" t="s">
        <v>139</v>
      </c>
      <c r="B14" s="7" t="s">
        <v>204</v>
      </c>
      <c r="C14" s="7"/>
    </row>
    <row r="15" spans="1:3" x14ac:dyDescent="0.3">
      <c r="A15" s="7" t="s">
        <v>103</v>
      </c>
      <c r="B15" s="7" t="s">
        <v>247</v>
      </c>
      <c r="C15" s="7"/>
    </row>
    <row r="16" spans="1:3" ht="22.8" x14ac:dyDescent="0.3">
      <c r="A16" s="7" t="s">
        <v>55</v>
      </c>
      <c r="B16" s="7" t="s">
        <v>247</v>
      </c>
      <c r="C16" s="7" t="s">
        <v>294</v>
      </c>
    </row>
    <row r="17" spans="1:3" x14ac:dyDescent="0.3">
      <c r="A17" s="7" t="s">
        <v>82</v>
      </c>
      <c r="B17" s="7" t="s">
        <v>250</v>
      </c>
      <c r="C17" s="7"/>
    </row>
    <row r="18" spans="1:3" x14ac:dyDescent="0.3">
      <c r="A18" s="7" t="s">
        <v>295</v>
      </c>
      <c r="B18" s="7" t="s">
        <v>208</v>
      </c>
      <c r="C18" s="7"/>
    </row>
    <row r="19" spans="1:3" x14ac:dyDescent="0.3">
      <c r="A19" s="7" t="s">
        <v>296</v>
      </c>
      <c r="B19" s="7" t="s">
        <v>212</v>
      </c>
      <c r="C19" s="7"/>
    </row>
    <row r="20" spans="1:3" x14ac:dyDescent="0.3">
      <c r="A20" s="7" t="s">
        <v>297</v>
      </c>
      <c r="B20" s="7" t="s">
        <v>232</v>
      </c>
      <c r="C20" s="7" t="s">
        <v>298</v>
      </c>
    </row>
    <row r="21" spans="1:3" x14ac:dyDescent="0.3">
      <c r="A21" s="7" t="s">
        <v>299</v>
      </c>
      <c r="B21" s="7" t="s">
        <v>254</v>
      </c>
      <c r="C21" s="7"/>
    </row>
    <row r="22" spans="1:3" x14ac:dyDescent="0.3">
      <c r="A22" s="7" t="s">
        <v>300</v>
      </c>
      <c r="B22" s="7" t="s">
        <v>238</v>
      </c>
      <c r="C22" s="7"/>
    </row>
    <row r="23" spans="1:3" x14ac:dyDescent="0.3">
      <c r="A23" s="7" t="s">
        <v>301</v>
      </c>
      <c r="B23" s="7" t="s">
        <v>258</v>
      </c>
      <c r="C23" s="7"/>
    </row>
    <row r="24" spans="1:3" x14ac:dyDescent="0.3">
      <c r="A24" s="7" t="s">
        <v>302</v>
      </c>
      <c r="B24" s="7" t="s">
        <v>262</v>
      </c>
      <c r="C24" s="7"/>
    </row>
    <row r="25" spans="1:3" x14ac:dyDescent="0.3">
      <c r="A25" s="7" t="s">
        <v>303</v>
      </c>
      <c r="B25" s="7" t="s">
        <v>228</v>
      </c>
      <c r="C25" s="7"/>
    </row>
    <row r="26" spans="1:3" x14ac:dyDescent="0.3">
      <c r="A26" s="7" t="s">
        <v>304</v>
      </c>
      <c r="B26" s="7" t="s">
        <v>135</v>
      </c>
      <c r="C26" s="7"/>
    </row>
    <row r="27" spans="1:3" x14ac:dyDescent="0.3">
      <c r="A27" s="7" t="s">
        <v>305</v>
      </c>
      <c r="B27" s="7" t="s">
        <v>141</v>
      </c>
      <c r="C27" s="7"/>
    </row>
    <row r="28" spans="1:3" x14ac:dyDescent="0.3">
      <c r="A28" s="7" t="s">
        <v>306</v>
      </c>
      <c r="B28" s="7" t="s">
        <v>145</v>
      </c>
      <c r="C28" s="7"/>
    </row>
    <row r="29" spans="1:3" x14ac:dyDescent="0.3">
      <c r="A29" s="7" t="s">
        <v>307</v>
      </c>
      <c r="B29" s="7" t="s">
        <v>199</v>
      </c>
      <c r="C29" s="7"/>
    </row>
    <row r="30" spans="1:3" x14ac:dyDescent="0.3">
      <c r="A30" s="7" t="s">
        <v>308</v>
      </c>
      <c r="B30" s="7" t="s">
        <v>32</v>
      </c>
      <c r="C30" s="7" t="s">
        <v>289</v>
      </c>
    </row>
    <row r="33" spans="1:3" x14ac:dyDescent="0.3">
      <c r="A33" s="15" t="s">
        <v>309</v>
      </c>
    </row>
    <row r="34" spans="1:3" x14ac:dyDescent="0.3">
      <c r="A34" s="12" t="s">
        <v>310</v>
      </c>
      <c r="B34" s="12" t="s">
        <v>311</v>
      </c>
      <c r="C34" s="12" t="s">
        <v>312</v>
      </c>
    </row>
    <row r="35" spans="1:3" ht="45.6" x14ac:dyDescent="0.3">
      <c r="A35" s="7" t="s">
        <v>62</v>
      </c>
      <c r="B35" s="7" t="s">
        <v>313</v>
      </c>
      <c r="C35" s="7">
        <v>46</v>
      </c>
    </row>
    <row r="36" spans="1:3" x14ac:dyDescent="0.3">
      <c r="A36" s="7" t="s">
        <v>314</v>
      </c>
      <c r="B36" s="7" t="s">
        <v>315</v>
      </c>
      <c r="C36" s="7">
        <v>8</v>
      </c>
    </row>
    <row r="37" spans="1:3" ht="22.8" x14ac:dyDescent="0.3">
      <c r="A37" s="7" t="s">
        <v>316</v>
      </c>
      <c r="B37" s="7" t="s">
        <v>317</v>
      </c>
      <c r="C37" s="7">
        <v>16</v>
      </c>
    </row>
    <row r="38" spans="1:3" x14ac:dyDescent="0.3">
      <c r="A38" s="7" t="s">
        <v>318</v>
      </c>
      <c r="B38" s="7" t="s">
        <v>319</v>
      </c>
      <c r="C38" s="7">
        <v>7</v>
      </c>
    </row>
    <row r="39" spans="1:3" ht="22.8" x14ac:dyDescent="0.3">
      <c r="A39" s="7" t="s">
        <v>153</v>
      </c>
      <c r="B39" s="7" t="s">
        <v>320</v>
      </c>
      <c r="C39" s="7">
        <v>17</v>
      </c>
    </row>
    <row r="40" spans="1:3" x14ac:dyDescent="0.3">
      <c r="A40" s="7" t="s">
        <v>166</v>
      </c>
      <c r="B40" s="7" t="s">
        <v>321</v>
      </c>
      <c r="C40" s="7">
        <v>11</v>
      </c>
    </row>
    <row r="41" spans="1:3" x14ac:dyDescent="0.3">
      <c r="A41" s="7" t="s">
        <v>322</v>
      </c>
      <c r="B41" s="7" t="s">
        <v>323</v>
      </c>
      <c r="C41" s="7">
        <v>8</v>
      </c>
    </row>
    <row r="42" spans="1:3" x14ac:dyDescent="0.3">
      <c r="A42" s="7" t="s">
        <v>324</v>
      </c>
      <c r="B42" s="7" t="s">
        <v>325</v>
      </c>
      <c r="C42" s="7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Normal="100" workbookViewId="0"/>
  </sheetViews>
  <sheetFormatPr baseColWidth="10" defaultColWidth="8.6640625" defaultRowHeight="14.4" x14ac:dyDescent="0.3"/>
  <cols>
    <col min="1" max="1" width="20" customWidth="1"/>
    <col min="2" max="2" width="110" customWidth="1"/>
  </cols>
  <sheetData>
    <row r="1" spans="1:2" ht="16.8" x14ac:dyDescent="0.3">
      <c r="A1" s="11" t="s">
        <v>326</v>
      </c>
    </row>
    <row r="3" spans="1:2" ht="26.4" x14ac:dyDescent="0.3">
      <c r="A3" s="16" t="s">
        <v>327</v>
      </c>
      <c r="B3" s="17" t="s">
        <v>328</v>
      </c>
    </row>
    <row r="4" spans="1:2" x14ac:dyDescent="0.3">
      <c r="A4" s="16" t="s">
        <v>329</v>
      </c>
      <c r="B4" s="17" t="s">
        <v>330</v>
      </c>
    </row>
    <row r="5" spans="1:2" x14ac:dyDescent="0.3">
      <c r="A5" s="16" t="s">
        <v>331</v>
      </c>
      <c r="B5" s="17" t="s">
        <v>332</v>
      </c>
    </row>
    <row r="6" spans="1:2" x14ac:dyDescent="0.3">
      <c r="A6" s="16" t="s">
        <v>333</v>
      </c>
      <c r="B6" s="17" t="s">
        <v>334</v>
      </c>
    </row>
    <row r="7" spans="1:2" x14ac:dyDescent="0.3">
      <c r="A7" s="16" t="s">
        <v>10</v>
      </c>
      <c r="B7" s="17" t="s">
        <v>335</v>
      </c>
    </row>
    <row r="8" spans="1:2" x14ac:dyDescent="0.3">
      <c r="A8" s="16" t="s">
        <v>336</v>
      </c>
      <c r="B8" s="17" t="s">
        <v>337</v>
      </c>
    </row>
    <row r="9" spans="1:2" ht="26.4" x14ac:dyDescent="0.3">
      <c r="A9" s="16" t="s">
        <v>338</v>
      </c>
      <c r="B9" s="17" t="s">
        <v>339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Register</vt:lpstr>
      <vt:lpstr>Summary</vt:lpstr>
      <vt:lpstr>Cross-Reference</vt:lpstr>
      <vt:lpstr>Legend</vt:lpstr>
      <vt:lpstr>Register!Títulos_a_imprimir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</cp:lastModifiedBy>
  <cp:revision>0</cp:revision>
  <dcterms:created xsi:type="dcterms:W3CDTF">2026-09-23T20:41:24Z</dcterms:created>
  <dcterms:modified xsi:type="dcterms:W3CDTF">2026-09-23T20:49:32Z</dcterms:modified>
  <dc:language>en-US</dc:language>
</cp:coreProperties>
</file>